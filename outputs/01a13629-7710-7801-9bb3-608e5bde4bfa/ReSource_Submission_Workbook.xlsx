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23456a08749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mission Draft" sheetId="1" r:id="R86079c7ca73a4aab"/>
    <x:sheet xmlns:r="http://schemas.openxmlformats.org/officeDocument/2006/relationships" name="Inputs &amp; Links" sheetId="2" r:id="Re2e8b45b83b4433d"/>
    <x:sheet xmlns:r="http://schemas.openxmlformats.org/officeDocument/2006/relationships" name="Evidence Tracker" sheetId="3" r:id="Rff112d523f0a41be"/>
    <x:sheet xmlns:r="http://schemas.openxmlformats.org/officeDocument/2006/relationships" name="Demo Video" sheetId="4" r:id="R056a4363d87f4535"/>
    <x:sheet xmlns:r="http://schemas.openxmlformats.org/officeDocument/2006/relationships" name="Sources" sheetId="5" r:id="R0edf82b3f571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20"/>
      <x:color rgb="FFFFFFFF"/>
      <x:name val="Carlito"/>
    </x:font>
    <x:font>
      <x:i/>
      <x:sz val="10"/>
      <x:color rgb="FF18332F"/>
      <x:name val="Carlito"/>
    </x:font>
    <x:font>
      <x:b/>
      <x:sz val="11"/>
      <x:color rgb="FFFFFFFF"/>
      <x:name val="Carlito"/>
    </x:font>
    <x:font>
      <x:sz val="10"/>
      <x:color rgb="FF18332F"/>
      <x:name val="Carlito"/>
    </x:font>
    <x:font>
      <x:b/>
      <x:sz val="10"/>
      <x:color rgb="FF18332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32F"/>
      </x:patternFill>
    </x:fill>
    <x:fill>
      <x:patternFill patternType="solid">
        <x:fgColor rgb="FFDDEDE5"/>
      </x:patternFill>
    </x:fill>
    <x:fill>
      <x:patternFill patternType="solid">
        <x:fgColor rgb="FF2F6B56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2">
    <x:border>
      <x:left/>
      <x:right/>
      <x:top/>
      <x:bottom/>
      <x:diagonal/>
    </x:border>
    <x:border>
      <x:left style="thin">
        <x:color rgb="FFCBD7D2"/>
      </x:left>
      <x:right style="thin">
        <x:color rgb="FFCBD7D2"/>
      </x:right>
      <x:top style="thin">
        <x:color rgb="FFCBD7D2"/>
      </x:top>
      <x:bottom style="thin">
        <x:color rgb="FFCBD7D2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EAF2F8"/>
        </x:patternFill>
      </x:fill>
    </x:dxf>
    <x:dxf>
      <x:font>
        <x:b/>
        <x:color rgb="FF2F6B56"/>
      </x:font>
      <x:fill>
        <x:patternFill patternType="solid">
          <x:bgColor rgb="FFDDEDE5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2F6B56"/>
      </x:font>
      <x:fill>
        <x:patternFill patternType="solid">
          <x:bgColor rgb="FFDDEDE5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2F6B56"/>
      </x:font>
      <x:fill>
        <x:patternFill patternType="solid">
          <x:bgColor rgb="FFDDED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c15d18a2e446be" /><Relationship Type="http://schemas.openxmlformats.org/officeDocument/2006/relationships/theme" Target="/xl/theme/theme1.xml" Id="R87614521d3bb4ff8" /><Relationship Type="http://schemas.openxmlformats.org/officeDocument/2006/relationships/sharedStrings" Target="/xl/sharedStrings.xml" Id="R4ab413f162a042fb" /><Relationship Type="http://schemas.openxmlformats.org/officeDocument/2006/relationships/worksheet" Target="/xl/worksheets/sheet1.xml" Id="R86079c7ca73a4aab" /><Relationship Type="http://schemas.openxmlformats.org/officeDocument/2006/relationships/worksheet" Target="/xl/worksheets/sheet2.xml" Id="Re2e8b45b83b4433d" /><Relationship Type="http://schemas.openxmlformats.org/officeDocument/2006/relationships/worksheet" Target="/xl/worksheets/sheet3.xml" Id="Rff112d523f0a41be" /><Relationship Type="http://schemas.openxmlformats.org/officeDocument/2006/relationships/worksheet" Target="/xl/worksheets/sheet4.xml" Id="R056a4363d87f4535" /><Relationship Type="http://schemas.openxmlformats.org/officeDocument/2006/relationships/worksheet" Target="/xl/worksheets/sheet5.xml" Id="R0edf82b3f57142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F6B5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22" hidden="0" customWidth="1"/>
    <x:col min="3" max="3" width="66" hidden="0" customWidth="1"/>
    <x:col min="4" max="4" width="25" hidden="0" customWidth="1"/>
    <x:col min="5" max="5" width="16" hidden="0" customWidth="1"/>
    <x:col min="6" max="6" width="32" hidden="0" customWidth="1"/>
    <x:col min="7" max="7" width="26" hidden="0" customWidth="1"/>
  </x:cols>
  <x:sheetData>
    <x:row r="1" ht="34" customHeight="1">
      <x:c r="A1" s="3" t="str">
        <x:v>Re:Source — Submission Draft</x:v>
      </x:c>
      <x:c r="B1" s="3"/>
      <x:c r="C1" s="3"/>
      <x:c r="D1" s="3"/>
      <x:c r="E1" s="3"/>
      <x:c r="F1" s="3"/>
      <x:c r="G1" s="3"/>
    </x:row>
    <x:row r="2" ht="30" customHeight="1">
      <x:c r="A2" s="7" t="str">
        <x:v>Copy-ready content mapped to the competition template. Yellow cells require confirmation; blue cells need final evidence or links.</x:v>
      </x:c>
      <x:c r="B2" s="7"/>
      <x:c r="C2" s="7"/>
      <x:c r="D2" s="7"/>
      <x:c r="E2" s="7"/>
      <x:c r="F2" s="7"/>
      <x:c r="G2" s="7"/>
    </x:row>
    <x:row r="4" ht="30" customHeight="1">
      <x:c r="A4" s="12" t="str">
        <x:v>Page</x:v>
      </x:c>
      <x:c r="B4" s="12" t="str">
        <x:v>Template section</x:v>
      </x:c>
      <x:c r="C4" s="12" t="str">
        <x:v>Draft content</x:v>
      </x:c>
      <x:c r="D4" s="12" t="str">
        <x:v>Evidence / asset</x:v>
      </x:c>
      <x:c r="E4" s="12" t="str">
        <x:v>Status</x:v>
      </x:c>
      <x:c r="F4" s="12" t="str">
        <x:v>Owner action</x:v>
      </x:c>
      <x:c r="G4" s="12" t="str">
        <x:v>Source</x:v>
      </x:c>
    </x:row>
    <x:row r="5" ht="82" customHeight="1">
      <x:c r="A5" s="17" t="n">
        <x:v>1</x:v>
      </x:c>
      <x:c r="B5" s="16" t="str">
        <x:v>Team details</x:v>
      </x:c>
      <x:c r="C5" s="16" t="str">
        <x:v>Team name: Recursive Mind
Team leader: [CONFIRM NAME]
Problem statement: Useful renovation leftovers are often discarded because owners must manually describe uncertain materials, while finders cannot judge whether scattered listings meet a real project's dimensions, budget, condition and pickup constraints.</x:v>
      </x:c>
      <x:c r="D5" s="16" t="str">
        <x:v>Registration details</x:v>
      </x:c>
      <x:c r="E5" s="18" t="str">
        <x:v>INPUT NEEDED</x:v>
      </x:c>
      <x:c r="F5" s="16" t="str">
        <x:v>Confirm team leader and exact registered team name.</x:v>
      </x:c>
      <x:c r="G5" s="16" t="str">
        <x:v>SUBMISSION_CHECKLIST.md; RESOURCE_PLAN.md</x:v>
      </x:c>
    </x:row>
    <x:row r="6" ht="82" customHeight="1">
      <x:c r="A6" s="17" t="n">
        <x:v>2</x:v>
      </x:c>
      <x:c r="B6" s="16" t="str">
        <x:v>Download instructions</x:v>
      </x:c>
      <x:c r="C6" s="16" t="str">
        <x:v>Open the official template in Google Slides, choose File → Download → Microsoft PowerPoint (.pptx), edit the downloaded file, then export the final submission in the required portal format.</x:v>
      </x:c>
      <x:c r="D6" s="16" t="str">
        <x:v>Official template access</x:v>
      </x:c>
      <x:c r="E6" s="18" t="str">
        <x:v>VERIFY</x:v>
      </x:c>
      <x:c r="F6" s="16" t="str">
        <x:v>Confirm access and final upload format in the event dashboard.</x:v>
      </x:c>
      <x:c r="G6" s="16" t="str">
        <x:v>SUBMISSION_CHECKLIST.md</x:v>
      </x:c>
    </x:row>
    <x:row r="7" ht="82" customHeight="1">
      <x:c r="A7" s="17" t="n">
        <x:v>3</x:v>
      </x:c>
      <x:c r="B7" s="16" t="str">
        <x:v>Your idea</x:v>
      </x:c>
      <x:c r="C7" s="16" t="str">
        <x:v>Re:Source is an AI-assisted reuse marketplace for non-structural renovation leftovers. Owners upload a photo and confirm an AI-generated listing draft. Finders describe a project; Re:Source converts it into requirements, filters real inventory, performs deterministic quantity, area and price calculations, and explains what fits, what is missing and what to ask before pickup.</x:v>
      </x:c>
      <x:c r="D7" s="16" t="str">
        <x:v>Hero screenshot + one-line value proposition</x:v>
      </x:c>
      <x:c r="E7" s="18" t="str">
        <x:v>DRAFT READY</x:v>
      </x:c>
      <x:c r="F7" s="16" t="str">
        <x:v>Use the mosaic tabletop scenario as the opening example.</x:v>
      </x:c>
      <x:c r="G7" s="16" t="str">
        <x:v>COMPETITION_STRATEGY.md; RESOURCE_PLAN.md</x:v>
      </x:c>
    </x:row>
    <x:row r="8" ht="82" customHeight="1">
      <x:c r="A8" s="17" t="n">
        <x:v>4</x:v>
      </x:c>
      <x:c r="B8" s="16" t="str">
        <x:v>Opportunity, difference &amp; USP</x:v>
      </x:c>
      <x:c r="C8" s="16" t="str">
        <x:v>Opportunity: usable leftovers are lost because supply is difficult to describe and demand is expressed as projects rather than product keywords.
Difference: Re:Source connects a project brief to structured inventory using transparent calculations and explicit uncertainty.
USP: every recommendation cites confirmed listing facts, shows coverage and gaps, and keeps AI suggestions separate from owner-confirmed data.</x:v>
      </x:c>
      <x:c r="D8" s="16" t="str">
        <x:v>Before/after journey diagram</x:v>
      </x:c>
      <x:c r="E8" s="18" t="str">
        <x:v>DRAFT READY</x:v>
      </x:c>
      <x:c r="F8" s="16" t="str">
        <x:v>Avoid unsupported market-superiority claims.</x:v>
      </x:c>
      <x:c r="G8" s="16" t="str">
        <x:v>COMPETITION_STRATEGY.md; DESIGN.md</x:v>
      </x:c>
    </x:row>
    <x:row r="9" ht="82" customHeight="1">
      <x:c r="A9" s="17" t="n">
        <x:v>5</x:v>
      </x:c>
      <x:c r="B9" s="16" t="str">
        <x:v>Features</x:v>
      </x:c>
      <x:c r="C9" s="16" t="str">
        <x:v>Implemented in the prototype: guided project brief; structured inventory browsing; deterministic match, quantity, area and price calculations; evidence and uncertainty states; saved project plan; manual listing; simulated pickup; responsive desktop/mobile experience; clear AI availability and fallback states.
Planned for submission-grade live demo: Gemini photo-to-draft, brief-to-requirements and evidence-backed match explanation; Firebase persistence, anonymous authentication and App Check; public deployment.</x:v>
      </x:c>
      <x:c r="D9" s="16" t="str">
        <x:v>Feature screenshots; AI state screenshot</x:v>
      </x:c>
      <x:c r="E9" s="18" t="str">
        <x:v>PARTIAL</x:v>
      </x:c>
      <x:c r="F9" s="16" t="str">
        <x:v>Label implemented and planned features separately in the deck.</x:v>
      </x:c>
      <x:c r="G9" s="16" t="str">
        <x:v>PRODUCT.md; resource-app/README.md; DESIGN.md</x:v>
      </x:c>
    </x:row>
    <x:row r="10" ht="82" customHeight="1">
      <x:c r="A10" s="17" t="n">
        <x:v>6</x:v>
      </x:c>
      <x:c r="B10" s="16" t="str">
        <x:v>Process / use case</x:v>
      </x:c>
      <x:c r="C10" s="16" t="str">
        <x:v>Owner flow: photograph leftover → review AI suggestions → correct details → publish.
Finder flow: describe project → review extracted requirements → inspect ranked matches → see calculations and uncertainty → save plan → simulate pickup.
Signature demo: a renter needs a small mosaic tabletop; Re:Source identifies suitable tile leftovers, calculates coverage and cost, flags missing details and saves the plan.</x:v>
      </x:c>
      <x:c r="D10" s="16" t="str">
        <x:v>Two-lane user-flow diagram</x:v>
      </x:c>
      <x:c r="E10" s="18" t="str">
        <x:v>DRAFT READY</x:v>
      </x:c>
      <x:c r="F10" s="16" t="str">
        <x:v>Record the full owner and finder journeys.</x:v>
      </x:c>
      <x:c r="G10" s="16" t="str">
        <x:v>RESOURCE_PLAN.md; COMPETITION_STRATEGY.md</x:v>
      </x:c>
    </x:row>
    <x:row r="11" ht="82" customHeight="1">
      <x:c r="A11" s="17" t="n">
        <x:v>7</x:v>
      </x:c>
      <x:c r="B11" s="16" t="str">
        <x:v>Wireframes (optional)</x:v>
      </x:c>
      <x:c r="C11" s="16" t="str">
        <x:v>Use one early wireframe beside the final interface to show how the experience evolved from catalogue browsing into a guided conversation with progressive disclosure.</x:v>
      </x:c>
      <x:c r="D11" s="16" t="str">
        <x:v>Early wireframe + final UI</x:v>
      </x:c>
      <x:c r="E11" s="18" t="str">
        <x:v>OPTIONAL</x:v>
      </x:c>
      <x:c r="F11" s="16" t="str">
        <x:v>Add only if it strengthens the story and fits the page limit.</x:v>
      </x:c>
      <x:c r="G11" s="16" t="str">
        <x:v>DESIGN.md</x:v>
      </x:c>
    </x:row>
    <x:row r="12" ht="82" customHeight="1">
      <x:c r="A12" s="17" t="n">
        <x:v>8</x:v>
      </x:c>
      <x:c r="B12" s="16" t="str">
        <x:v>Architecture</x:v>
      </x:c>
      <x:c r="C12" s="16" t="str">
        <x:v>Target flow: React/Vite/shadcn UI → Firebase Hosting → anonymous Firebase Authentication + App Check → Firestore for listings/projects → Firebase AI Logic → Gemini Developer API. Client-side image resizing is used before AI analysis. Deterministic application code handles quantity, area and price calculations; AI produces structured suggestions and explanations. No Cloud Storage, Cloud Functions, Cloud Run or Vertex AI are planned under the no-billing constraint.</x:v>
      </x:c>
      <x:c r="D12" s="16" t="str">
        <x:v>Architecture diagram with trust boundaries</x:v>
      </x:c>
      <x:c r="E12" s="18" t="str">
        <x:v>DRAFT READY</x:v>
      </x:c>
      <x:c r="F12" s="16" t="str">
        <x:v>Verify Firebase project, model access and quotas before presenting as deployed.</x:v>
      </x:c>
      <x:c r="G12" s="16" t="str">
        <x:v>RESOURCE_PLAN.md</x:v>
      </x:c>
    </x:row>
    <x:row r="13" ht="82" customHeight="1">
      <x:c r="A13" s="17" t="n">
        <x:v>9</x:v>
      </x:c>
      <x:c r="B13" s="16" t="str">
        <x:v>Technology</x:v>
      </x:c>
      <x:c r="C13" s="16" t="str">
        <x:v>Frontend: React 19, TypeScript, Vite 8, Tailwind CSS and shadcn/ui.
App services planned: Firebase Hosting, Firestore, anonymous Authentication and App Check.
AI planned: Firebase AI Logic with the Gemini Developer API.
Testing: Vitest plus browser-based journey checks.
Design principle: AI proposes; users confirm; calculations remain deterministic.</x:v>
      </x:c>
      <x:c r="D13" s="16" t="str">
        <x:v>Technology logo strip</x:v>
      </x:c>
      <x:c r="E13" s="18" t="str">
        <x:v>DRAFT READY</x:v>
      </x:c>
      <x:c r="F13" s="16" t="str">
        <x:v>Update once the final deployment stack is confirmed.</x:v>
      </x:c>
      <x:c r="G13" s="16" t="str">
        <x:v>resource-app/package.json; RESOURCE_PLAN.md</x:v>
      </x:c>
    </x:row>
    <x:row r="14" ht="82" customHeight="1">
      <x:c r="A14" s="17" t="n">
        <x:v>10</x:v>
      </x:c>
      <x:c r="B14" s="16" t="str">
        <x:v>Implementation cost (optional)</x:v>
      </x:c>
      <x:c r="C14" s="16" t="str">
        <x:v>Prototype target: ₹0 paid usage. The proposed design uses unbilled Firebase Spark services and free-tier Gemini Developer API access through Firebase AI Logic. This is a design constraint, not a guarantee of capacity: model availability, quotas and event rules must be verified before submission.</x:v>
      </x:c>
      <x:c r="D14" s="16" t="str">
        <x:v>Simple cost table</x:v>
      </x:c>
      <x:c r="E14" s="18" t="str">
        <x:v>VERIFY</x:v>
      </x:c>
      <x:c r="F14" s="16" t="str">
        <x:v>Record actual hosting and AI usage after deployment.</x:v>
      </x:c>
      <x:c r="G14" s="16" t="str">
        <x:v>RESOURCE_PLAN.md</x:v>
      </x:c>
    </x:row>
    <x:row r="15" ht="82" customHeight="1">
      <x:c r="A15" s="17" t="n">
        <x:v>11</x:v>
      </x:c>
      <x:c r="B15" s="16" t="str">
        <x:v>Application snapshots</x:v>
      </x:c>
      <x:c r="C15" s="16" t="str">
        <x:v>Recommended snapshots: project brief conversation; extracted requirements; ranked matches with coverage and price; uncertainty / missing-information prompt; saved plan; photo-to-listing review; mobile view; AI unavailable fallback.</x:v>
      </x:c>
      <x:c r="D15" s="16" t="str">
        <x:v>Final screenshots</x:v>
      </x:c>
      <x:c r="E15" s="18" t="str">
        <x:v>EVIDENCE NEEDED</x:v>
      </x:c>
      <x:c r="F15" s="16" t="str">
        <x:v>Capture screenshots after live AI and deployment are stable.</x:v>
      </x:c>
      <x:c r="G15" s="16" t="str">
        <x:v>SUBMISSION_CHECKLIST.md; DESIGN.md</x:v>
      </x:c>
    </x:row>
    <x:row r="16" ht="82" customHeight="1">
      <x:c r="A16" s="17" t="n">
        <x:v>12</x:v>
      </x:c>
      <x:c r="B16" s="16" t="str">
        <x:v>Performance / benchmarking</x:v>
      </x:c>
      <x:c r="C16" s="16" t="str">
        <x:v>Verified engineering checks: production build passes; 6 matching tests pass; key owner and finder journeys were browser-checked; desktop and 390 px mobile layouts were visually inspected. Still required: task completion times, match relevance, unsupported-claim rate, AI latency, fallback success and security-rule tests. Do not report targets as measured results.</x:v>
      </x:c>
      <x:c r="D16" s="16" t="str">
        <x:v>Evidence table + test output</x:v>
      </x:c>
      <x:c r="E16" s="18" t="str">
        <x:v>PARTIAL</x:v>
      </x:c>
      <x:c r="F16" s="16" t="str">
        <x:v>Run the benchmark plan in the Evidence Tracker and capture dated results.</x:v>
      </x:c>
      <x:c r="G16" s="16" t="str">
        <x:v>resource-app/README.md; SUBMISSION_CHECKLIST.md</x:v>
      </x:c>
    </x:row>
    <x:row r="17" ht="82" customHeight="1">
      <x:c r="A17" s="17" t="n">
        <x:v>13</x:v>
      </x:c>
      <x:c r="B17" s="16" t="str">
        <x:v>Future</x:v>
      </x:c>
      <x:c r="C17" s="16" t="str">
        <x:v>Next steps: connect live Gemini calls; add Firebase persistence and security rules; pilot in one locality; improve condition and dimension confidence; add owner/finder feedback loops; measure successful reuse; expand only after validating non-structural-material safety and pickup reliability.</x:v>
      </x:c>
      <x:c r="D17" s="16" t="str">
        <x:v>Three-phase roadmap</x:v>
      </x:c>
      <x:c r="E17" s="18" t="str">
        <x:v>DRAFT READY</x:v>
      </x:c>
      <x:c r="F17" s="16" t="str">
        <x:v>Keep future claims distinct from current capability.</x:v>
      </x:c>
      <x:c r="G17" s="16" t="str">
        <x:v>RESOURCE_PLAN.md; PRODUCT.md</x:v>
      </x:c>
    </x:row>
    <x:row r="18" ht="82" customHeight="1">
      <x:c r="A18" s="17" t="n">
        <x:v>14</x:v>
      </x:c>
      <x:c r="B18" s="16" t="str">
        <x:v>Submission links</x:v>
      </x:c>
      <x:c r="C18" s="16" t="str">
        <x:v>Public GitHub repository: [ADD URL]
Three-minute demo video: [ADD URL]
Final product: [ADD URL]</x:v>
      </x:c>
      <x:c r="D18" s="16" t="str">
        <x:v>Accessible public links</x:v>
      </x:c>
      <x:c r="E18" s="18" t="str">
        <x:v>INPUT NEEDED</x:v>
      </x:c>
      <x:c r="F18" s="16" t="str">
        <x:v>Add links and test them while signed out.</x:v>
      </x:c>
      <x:c r="G18" s="16" t="str">
        <x:v>SUBMISSION_CHECKLIST.md</x:v>
      </x:c>
    </x:row>
  </x:sheetData>
  <x:mergeCells>
    <x:mergeCell ref="A1:G1"/>
    <x:mergeCell ref="A2:G2"/>
  </x:mergeCells>
  <x:conditionalFormatting sqref="A5:G18">
    <x:cfRule type="containsText" dxfId="0" priority="1" operator="containsText" text="INPUT NEEDED"/>
    <x:cfRule type="containsText" dxfId="1" priority="2" operator="containsText" text="EVIDENCE NEEDED"/>
    <x:cfRule type="containsText" dxfId="2" priority="3" operator="containsText" text="DRAFT READY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8A84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34" hidden="0" customWidth="1"/>
    <x:col min="3" max="3" width="19" hidden="0" customWidth="1"/>
    <x:col min="4" max="4" width="13" hidden="0" customWidth="1"/>
    <x:col min="5" max="5" width="48" hidden="0" customWidth="1"/>
  </x:cols>
  <x:sheetData>
    <x:row r="1" ht="34" customHeight="1">
      <x:c r="A1" s="3" t="str">
        <x:v>Inputs &amp; Links</x:v>
      </x:c>
      <x:c r="B1" s="3"/>
      <x:c r="C1" s="3"/>
      <x:c r="D1" s="3"/>
      <x:c r="E1" s="3"/>
    </x:row>
    <x:row r="2" ht="30" customHeight="1">
      <x:c r="A2" s="7" t="str">
        <x:v>Complete the yellow cells. Status updates automatically; placeholders are intentionally not treated as finished.</x:v>
      </x:c>
      <x:c r="B2" s="7"/>
      <x:c r="C2" s="7"/>
      <x:c r="D2" s="7"/>
      <x:c r="E2" s="7"/>
    </x:row>
    <x:row r="4" ht="30" customHeight="1">
      <x:c r="A4" s="12" t="str">
        <x:v>Field</x:v>
      </x:c>
      <x:c r="B4" s="12" t="str">
        <x:v>Current value</x:v>
      </x:c>
      <x:c r="C4" s="12" t="str">
        <x:v>Required for</x:v>
      </x:c>
      <x:c r="D4" s="12" t="str">
        <x:v>Status</x:v>
      </x:c>
      <x:c r="E4" s="12" t="str">
        <x:v>Notes</x:v>
      </x:c>
    </x:row>
    <x:row r="5" ht="34" customHeight="1">
      <x:c r="A5" s="16" t="str">
        <x:v>Team name</x:v>
      </x:c>
      <x:c r="B5" s="19" t="str">
        <x:v>Recursive Mind</x:v>
      </x:c>
      <x:c r="C5" s="16" t="str">
        <x:v>Page 1</x:v>
      </x:c>
      <x:c r="D5" s="18" t="str">
        <x:f>IF(B5="","MISSING",IF(ISNUMBER(SEARCH("confirm",B5)),"VERIFY","READY"))</x:f>
        <x:v>READY</x:v>
      </x:c>
      <x:c r="E5" s="16" t="str">
        <x:v>Confirm this exactly matches registration.</x:v>
      </x:c>
    </x:row>
    <x:row r="6" ht="34" customHeight="1">
      <x:c r="A6" s="16" t="str">
        <x:v>Team leader</x:v>
      </x:c>
      <x:c r="B6" s="19" t="str"/>
      <x:c r="C6" s="16" t="str">
        <x:v>Page 1</x:v>
      </x:c>
      <x:c r="D6" s="18" t="str">
        <x:f>IF(B6="","MISSING",IF(ISNUMBER(SEARCH("confirm",B6)),"VERIFY","READY"))</x:f>
        <x:v>MISSING</x:v>
      </x:c>
      <x:c r="E6" s="16" t="str">
        <x:v>Use the registered leader's full name.</x:v>
      </x:c>
    </x:row>
    <x:row r="7" ht="34" customHeight="1">
      <x:c r="A7" s="16" t="str">
        <x:v>Team members</x:v>
      </x:c>
      <x:c r="B7" s="19" t="str"/>
      <x:c r="C7" s="16" t="str">
        <x:v>Portal / appendix</x:v>
      </x:c>
      <x:c r="D7" s="18" t="str">
        <x:f>IF(B7="","MISSING",IF(ISNUMBER(SEARCH("confirm",B7)),"VERIFY","READY"))</x:f>
        <x:v>MISSING</x:v>
      </x:c>
      <x:c r="E7" s="16" t="str">
        <x:v>Add names and roles if the portal requests them.</x:v>
      </x:c>
    </x:row>
    <x:row r="8" ht="34" customHeight="1">
      <x:c r="A8" s="16" t="str">
        <x:v>Competition problem statement</x:v>
      </x:c>
      <x:c r="B8" s="19" t="str"/>
      <x:c r="C8" s="16" t="str">
        <x:v>Page 1</x:v>
      </x:c>
      <x:c r="D8" s="18" t="str">
        <x:f>IF(B8="","MISSING",IF(ISNUMBER(SEARCH("confirm",B8)),"VERIFY","READY"))</x:f>
        <x:v>MISSING</x:v>
      </x:c>
      <x:c r="E8" s="16" t="str">
        <x:v>Paste the official chosen problem statement if one exists.</x:v>
      </x:c>
    </x:row>
    <x:row r="9" ht="34" customHeight="1">
      <x:c r="A9" s="16" t="str">
        <x:v>Pilot locality</x:v>
      </x:c>
      <x:c r="B9" s="19" t="str">
        <x:v>Bengaluru (illustrative)</x:v>
      </x:c>
      <x:c r="C9" s="16" t="str">
        <x:v>Story / demo</x:v>
      </x:c>
      <x:c r="D9" s="18" t="str">
        <x:f>IF(B9="","MISSING",IF(ISNUMBER(SEARCH("confirm",B9)),"VERIFY","READY"))</x:f>
        <x:v>READY</x:v>
      </x:c>
      <x:c r="E9" s="16" t="str">
        <x:v>Confirm the actual locality or remove the city.</x:v>
      </x:c>
    </x:row>
    <x:row r="10" ht="34" customHeight="1">
      <x:c r="A10" s="16" t="str">
        <x:v>Firebase project ID</x:v>
      </x:c>
      <x:c r="B10" s="19" t="str"/>
      <x:c r="C10" s="16" t="str">
        <x:v>Deployment</x:v>
      </x:c>
      <x:c r="D10" s="18" t="str">
        <x:f>IF(B10="","MISSING",IF(ISNUMBER(SEARCH("confirm",B10)),"VERIFY","READY"))</x:f>
        <x:v>MISSING</x:v>
      </x:c>
      <x:c r="E10" s="16" t="str">
        <x:v>Needed only after project creation.</x:v>
      </x:c>
    </x:row>
    <x:row r="11" ht="34" customHeight="1">
      <x:c r="A11" s="16" t="str">
        <x:v>Public GitHub URL</x:v>
      </x:c>
      <x:c r="B11" s="19" t="str"/>
      <x:c r="C11" s="16" t="str">
        <x:v>Page 14</x:v>
      </x:c>
      <x:c r="D11" s="18" t="str">
        <x:f>IF(B11="","MISSING",IF(ISNUMBER(SEARCH("confirm",B11)),"VERIFY","READY"))</x:f>
        <x:v>MISSING</x:v>
      </x:c>
      <x:c r="E11" s="16" t="str">
        <x:v>Test while signed out.</x:v>
      </x:c>
    </x:row>
    <x:row r="12" ht="34" customHeight="1">
      <x:c r="A12" s="16" t="str">
        <x:v>Demo video URL</x:v>
      </x:c>
      <x:c r="B12" s="19" t="str"/>
      <x:c r="C12" s="16" t="str">
        <x:v>Page 14</x:v>
      </x:c>
      <x:c r="D12" s="18" t="str">
        <x:f>IF(B12="","MISSING",IF(ISNUMBER(SEARCH("confirm",B12)),"VERIFY","READY"))</x:f>
        <x:v>MISSING</x:v>
      </x:c>
      <x:c r="E12" s="16" t="str">
        <x:v>Three minutes; test while signed out.</x:v>
      </x:c>
    </x:row>
    <x:row r="13" ht="34" customHeight="1">
      <x:c r="A13" s="16" t="str">
        <x:v>Final product URL</x:v>
      </x:c>
      <x:c r="B13" s="19" t="str"/>
      <x:c r="C13" s="16" t="str">
        <x:v>Page 14</x:v>
      </x:c>
      <x:c r="D13" s="18" t="str">
        <x:f>IF(B13="","MISSING",IF(ISNUMBER(SEARCH("confirm",B13)),"VERIFY","READY"))</x:f>
        <x:v>MISSING</x:v>
      </x:c>
      <x:c r="E13" s="16" t="str">
        <x:v>Test on desktop and mobile while signed out.</x:v>
      </x:c>
    </x:row>
    <x:row r="14" ht="34" customHeight="1">
      <x:c r="A14" s="16" t="str">
        <x:v>Submission deadline</x:v>
      </x:c>
      <x:c r="B14" s="19" t="str">
        <x:v>Oct 18 — confirm dashboard</x:v>
      </x:c>
      <x:c r="C14" s="16" t="str">
        <x:v>Planning</x:v>
      </x:c>
      <x:c r="D14" s="18" t="str">
        <x:f>IF(B14="","MISSING",IF(ISNUMBER(SEARCH("confirm",B14)),"VERIFY","READY"))</x:f>
        <x:v>VERIFY</x:v>
      </x:c>
      <x:c r="E14" s="16" t="str">
        <x:v>Transcript note is not enough; verify the event portal.</x:v>
      </x:c>
    </x:row>
    <x:row r="15" ht="34" customHeight="1">
      <x:c r="A15" s="16" t="str">
        <x:v>Final upload format</x:v>
      </x:c>
      <x:c r="B15" s="19" t="str"/>
      <x:c r="C15" s="16" t="str">
        <x:v>Submission</x:v>
      </x:c>
      <x:c r="D15" s="18" t="str">
        <x:f>IF(B15="","MISSING",IF(ISNUMBER(SEARCH("confirm",B15)),"VERIFY","READY"))</x:f>
        <x:v>MISSING</x:v>
      </x:c>
      <x:c r="E15" s="16" t="str">
        <x:v>Confirm PPTX/PDF/link requirements in the portal.</x:v>
      </x:c>
    </x:row>
    <x:row r="16" ht="34" customHeight="1">
      <x:c r="A16" s="16" t="str">
        <x:v>Gemini model / quota verified</x:v>
      </x:c>
      <x:c r="B16" s="19" t="str"/>
      <x:c r="C16" s="16" t="str">
        <x:v>Technical evidence</x:v>
      </x:c>
      <x:c r="D16" s="18" t="str">
        <x:f>IF(B16="","MISSING",IF(ISNUMBER(SEARCH("confirm",B16)),"VERIFY","READY"))</x:f>
        <x:v>MISSING</x:v>
      </x:c>
      <x:c r="E16" s="16" t="str">
        <x:v>Record model name, access route and observed quota.</x:v>
      </x:c>
    </x:row>
    <x:row r="18" ht="30" customHeight="1">
      <x:c r="A18" s="12" t="str">
        <x:v>Readiness summary</x:v>
      </x:c>
      <x:c r="B18" s="12" t="str">
        <x:v>Count</x:v>
      </x:c>
    </x:row>
    <x:row r="19">
      <x:c r="A19" s="16" t="str">
        <x:v>Ready</x:v>
      </x:c>
      <x:c r="B19" s="16" t="n">
        <x:f>COUNTIF(D5:D16,"READY")</x:f>
        <x:v>2</x:v>
      </x:c>
    </x:row>
    <x:row r="20">
      <x:c r="A20" s="16" t="str">
        <x:v>Missing</x:v>
      </x:c>
      <x:c r="B20" s="16" t="n">
        <x:f>COUNTIF(D5:D16,"MISSING")</x:f>
        <x:v>9</x:v>
      </x:c>
    </x:row>
    <x:row r="21">
      <x:c r="A21" s="16" t="str">
        <x:v>Verify</x:v>
      </x:c>
      <x:c r="B21" s="16" t="n">
        <x:f>COUNTIF(D5:D16,"VERIFY")</x:f>
        <x:v>1</x:v>
      </x:c>
    </x:row>
  </x:sheetData>
  <x:mergeCells>
    <x:mergeCell ref="A1:E1"/>
    <x:mergeCell ref="A2:E2"/>
  </x:mergeCells>
  <x:conditionalFormatting sqref="D5:D16">
    <x:cfRule type="containsText" dxfId="3" priority="1" operator="containsText" text="MISSING"/>
    <x:cfRule type="containsText" dxfId="4" priority="2" operator="containsText" text="READY"/>
    <x:cfRule type="containsText" dxfId="5" priority="3" operator="containsText" text="VERIFY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F81B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38" hidden="0" customWidth="1"/>
    <x:col min="3" max="3" width="22" hidden="0" customWidth="1"/>
    <x:col min="4" max="4" width="18" hidden="0" customWidth="1"/>
    <x:col min="5" max="5" width="15" hidden="0" customWidth="1"/>
    <x:col min="6" max="6" width="19" hidden="0" customWidth="1"/>
    <x:col min="7" max="7" width="14" hidden="0" customWidth="1"/>
    <x:col min="8" max="8" width="34" hidden="0" customWidth="1"/>
  </x:cols>
  <x:sheetData>
    <x:row r="1" ht="34" customHeight="1">
      <x:c r="A1" s="3" t="str">
        <x:v>Evidence Tracker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Only measured results belong in the final deck. Blank measured-value cells are deliberate work items.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2" t="str">
        <x:v>Metric / check</x:v>
      </x:c>
      <x:c r="B4" s="12" t="str">
        <x:v>Definition</x:v>
      </x:c>
      <x:c r="C4" s="12" t="str">
        <x:v>Target / acceptance</x:v>
      </x:c>
      <x:c r="D4" s="12" t="str">
        <x:v>Measured value</x:v>
      </x:c>
      <x:c r="E4" s="12" t="str">
        <x:v>Unit</x:v>
      </x:c>
      <x:c r="F4" s="12" t="str">
        <x:v>Sample</x:v>
      </x:c>
      <x:c r="G4" s="12" t="str">
        <x:v>Status</x:v>
      </x:c>
      <x:c r="H4" s="12" t="str">
        <x:v>Method / evidence</x:v>
      </x:c>
    </x:row>
    <x:row r="5" ht="42" customHeight="1">
      <x:c r="A5" s="16" t="str">
        <x:v>Production build</x:v>
      </x:c>
      <x:c r="B5" s="16" t="str">
        <x:v>Final app compiles for production</x:v>
      </x:c>
      <x:c r="C5" s="16" t="str">
        <x:v>Pass</x:v>
      </x:c>
      <x:c r="D5" s="20" t="str">
        <x:v>Pass</x:v>
      </x:c>
      <x:c r="E5" s="16" t="str">
        <x:v>result</x:v>
      </x:c>
      <x:c r="F5" s="16" t="str">
        <x:v>latest local build</x:v>
      </x:c>
      <x:c r="G5" s="18" t="str">
        <x:f>IF(D5="","MEASURE",IF(OR(D5="Pass",D5=F5),"VERIFIED","RECORDED"))</x:f>
        <x:v>VERIFIED</x:v>
      </x:c>
      <x:c r="H5" s="16" t="str">
        <x:v>resource-app README verification note</x:v>
      </x:c>
    </x:row>
    <x:row r="6" ht="42" customHeight="1">
      <x:c r="A6" s="16" t="str">
        <x:v>Matching tests</x:v>
      </x:c>
      <x:c r="B6" s="16" t="str">
        <x:v>Automated matching tests passing</x:v>
      </x:c>
      <x:c r="C6" s="16" t="str">
        <x:v>6 of 6</x:v>
      </x:c>
      <x:c r="D6" s="20" t="n">
        <x:v>6</x:v>
      </x:c>
      <x:c r="E6" s="16" t="str">
        <x:v>tests passed</x:v>
      </x:c>
      <x:c r="F6" s="16" t="n">
        <x:v>6</x:v>
      </x:c>
      <x:c r="G6" s="18" t="str">
        <x:f>IF(D6="","MEASURE",IF(OR(D6="Pass",D6=F6),"VERIFIED","RECORDED"))</x:f>
        <x:v>VERIFIED</x:v>
      </x:c>
      <x:c r="H6" s="16" t="str">
        <x:v>Vitest verification note</x:v>
      </x:c>
    </x:row>
    <x:row r="7" ht="42" customHeight="1">
      <x:c r="A7" s="16" t="str">
        <x:v>Owner + finder journeys</x:v>
      </x:c>
      <x:c r="B7" s="16" t="str">
        <x:v>Key end-to-end flows browser-checked</x:v>
      </x:c>
      <x:c r="C7" s="16" t="str">
        <x:v>Pass</x:v>
      </x:c>
      <x:c r="D7" s="20" t="str">
        <x:v>Pass</x:v>
      </x:c>
      <x:c r="E7" s="16" t="str">
        <x:v>result</x:v>
      </x:c>
      <x:c r="F7" s="16" t="str">
        <x:v>2 journeys</x:v>
      </x:c>
      <x:c r="G7" s="18" t="str">
        <x:f>IF(D7="","MEASURE",IF(OR(D7="Pass",D7=F7),"VERIFIED","RECORDED"))</x:f>
        <x:v>VERIFIED</x:v>
      </x:c>
      <x:c r="H7" s="16" t="str">
        <x:v>README verification note</x:v>
      </x:c>
    </x:row>
    <x:row r="8" ht="42" customHeight="1">
      <x:c r="A8" s="16" t="str">
        <x:v>Responsive visual check</x:v>
      </x:c>
      <x:c r="B8" s="16" t="str">
        <x:v>Desktop and narrow mobile inspected</x:v>
      </x:c>
      <x:c r="C8" s="16" t="str">
        <x:v>Desktop + 390 px</x:v>
      </x:c>
      <x:c r="D8" s="20" t="str">
        <x:v>Pass</x:v>
      </x:c>
      <x:c r="E8" s="16" t="str">
        <x:v>result</x:v>
      </x:c>
      <x:c r="F8" s="16" t="str">
        <x:v>2 viewports</x:v>
      </x:c>
      <x:c r="G8" s="18" t="str">
        <x:f>IF(D8="","MEASURE",IF(OR(D8="Pass",D8=F8),"VERIFIED","RECORDED"))</x:f>
        <x:v>VERIFIED</x:v>
      </x:c>
      <x:c r="H8" s="16" t="str">
        <x:v>DESIGN.md and README</x:v>
      </x:c>
    </x:row>
    <x:row r="9" ht="42" customHeight="1">
      <x:c r="A9" s="16" t="str">
        <x:v>Listing completion time</x:v>
      </x:c>
      <x:c r="B9" s="16" t="str">
        <x:v>Median time from photo to confirmed draft</x:v>
      </x:c>
      <x:c r="C9" s="16" t="str">
        <x:v>≤ 60</x:v>
      </x:c>
      <x:c r="D9" s="20" t="str"/>
      <x:c r="E9" s="16" t="str">
        <x:v>seconds</x:v>
      </x:c>
      <x:c r="F9" s="16" t="str">
        <x:v>≥ 5 attempts</x:v>
      </x:c>
      <x:c r="G9" s="18" t="str">
        <x:f>IF(D9="","MEASURE",IF(OR(D9="Pass",D9=F9),"VERIFIED","RECORDED"))</x:f>
        <x:v>MEASURE</x:v>
      </x:c>
      <x:c r="H9" s="16" t="str">
        <x:v>Screen recording / stopwatch</x:v>
      </x:c>
    </x:row>
    <x:row r="10" ht="42" customHeight="1">
      <x:c r="A10" s="16" t="str">
        <x:v>Finder completion time</x:v>
      </x:c>
      <x:c r="B10" s="16" t="str">
        <x:v>Median time from brief to saved plan</x:v>
      </x:c>
      <x:c r="C10" s="16" t="str">
        <x:v>≤ 90</x:v>
      </x:c>
      <x:c r="D10" s="20" t="str"/>
      <x:c r="E10" s="16" t="str">
        <x:v>seconds</x:v>
      </x:c>
      <x:c r="F10" s="16" t="str">
        <x:v>≥ 5 attempts</x:v>
      </x:c>
      <x:c r="G10" s="18" t="str">
        <x:f>IF(D10="","MEASURE",IF(OR(D10="Pass",D10=F10),"VERIFIED","RECORDED"))</x:f>
        <x:v>MEASURE</x:v>
      </x:c>
      <x:c r="H10" s="16" t="str">
        <x:v>Screen recording / stopwatch</x:v>
      </x:c>
    </x:row>
    <x:row r="11" ht="42" customHeight="1">
      <x:c r="A11" s="16" t="str">
        <x:v>Match relevance</x:v>
      </x:c>
      <x:c r="B11" s="16" t="str">
        <x:v>Top recommendations judged useful</x:v>
      </x:c>
      <x:c r="C11" s="16" t="str">
        <x:v>≥ 80</x:v>
      </x:c>
      <x:c r="D11" s="20" t="str"/>
      <x:c r="E11" s="16" t="str">
        <x:v>% useful</x:v>
      </x:c>
      <x:c r="F11" s="16" t="str">
        <x:v>≥ 10 briefs</x:v>
      </x:c>
      <x:c r="G11" s="18" t="str">
        <x:f>IF(D11="","MEASURE",IF(OR(D11="Pass",D11=F11),"VERIFIED","RECORDED"))</x:f>
        <x:v>MEASURE</x:v>
      </x:c>
      <x:c r="H11" s="16" t="str">
        <x:v>Human review rubric</x:v>
      </x:c>
    </x:row>
    <x:row r="12" ht="42" customHeight="1">
      <x:c r="A12" s="16" t="str">
        <x:v>Unsupported claim rate</x:v>
      </x:c>
      <x:c r="B12" s="16" t="str">
        <x:v>AI claims not supported by listing fields</x:v>
      </x:c>
      <x:c r="C12" s="16" t="str">
        <x:v>0</x:v>
      </x:c>
      <x:c r="D12" s="20" t="str"/>
      <x:c r="E12" s="16" t="str">
        <x:v>% claims</x:v>
      </x:c>
      <x:c r="F12" s="16" t="str">
        <x:v>≥ 30 claims</x:v>
      </x:c>
      <x:c r="G12" s="18" t="str">
        <x:f>IF(D12="","MEASURE",IF(OR(D12="Pass",D12=F12),"VERIFIED","RECORDED"))</x:f>
        <x:v>MEASURE</x:v>
      </x:c>
      <x:c r="H12" s="16" t="str">
        <x:v>Claim-to-field audit</x:v>
      </x:c>
    </x:row>
    <x:row r="13" ht="42" customHeight="1">
      <x:c r="A13" s="16" t="str">
        <x:v>AI response latency</x:v>
      </x:c>
      <x:c r="B13" s="16" t="str">
        <x:v>Median end-to-end live AI response</x:v>
      </x:c>
      <x:c r="C13" s="16" t="str">
        <x:v>≤ 8</x:v>
      </x:c>
      <x:c r="D13" s="20" t="str"/>
      <x:c r="E13" s="16" t="str">
        <x:v>seconds</x:v>
      </x:c>
      <x:c r="F13" s="16" t="str">
        <x:v>≥ 10 calls</x:v>
      </x:c>
      <x:c r="G13" s="18" t="str">
        <x:f>IF(D13="","MEASURE",IF(OR(D13="Pass",D13=F13),"VERIFIED","RECORDED"))</x:f>
        <x:v>MEASURE</x:v>
      </x:c>
      <x:c r="H13" s="16" t="str">
        <x:v>Browser timestamps</x:v>
      </x:c>
    </x:row>
    <x:row r="14" ht="42" customHeight="1">
      <x:c r="A14" s="16" t="str">
        <x:v>Fallback success</x:v>
      </x:c>
      <x:c r="B14" s="16" t="str">
        <x:v>Task remains completable when AI is unavailable</x:v>
      </x:c>
      <x:c r="C14" s="16" t="str">
        <x:v>100</x:v>
      </x:c>
      <x:c r="D14" s="20" t="str"/>
      <x:c r="E14" s="16" t="str">
        <x:v>% tasks</x:v>
      </x:c>
      <x:c r="F14" s="16" t="str">
        <x:v>3 failure scenarios</x:v>
      </x:c>
      <x:c r="G14" s="18" t="str">
        <x:f>IF(D14="","MEASURE",IF(OR(D14="Pass",D14=F14),"VERIFIED","RECORDED"))</x:f>
        <x:v>MEASURE</x:v>
      </x:c>
      <x:c r="H14" s="16" t="str">
        <x:v>Disable AI / force error</x:v>
      </x:c>
    </x:row>
    <x:row r="15" ht="42" customHeight="1">
      <x:c r="A15" s="16" t="str">
        <x:v>Security-rule checks</x:v>
      </x:c>
      <x:c r="B15" s="16" t="str">
        <x:v>Unauthorized writes rejected</x:v>
      </x:c>
      <x:c r="C15" s="16" t="str">
        <x:v>Pass</x:v>
      </x:c>
      <x:c r="D15" s="20" t="str"/>
      <x:c r="E15" s="16" t="str">
        <x:v>result</x:v>
      </x:c>
      <x:c r="F15" s="16" t="str">
        <x:v>required cases</x:v>
      </x:c>
      <x:c r="G15" s="18" t="str">
        <x:f>IF(D15="","MEASURE",IF(OR(D15="Pass",D15=F15),"VERIFIED","RECORDED"))</x:f>
        <x:v>MEASURE</x:v>
      </x:c>
      <x:c r="H15" s="16" t="str">
        <x:v>Firebase emulator or rules test</x:v>
      </x:c>
    </x:row>
    <x:row r="16" ht="42" customHeight="1">
      <x:c r="A16" s="16" t="str">
        <x:v>Public link access</x:v>
      </x:c>
      <x:c r="B16" s="16" t="str">
        <x:v>Repo, video and product open while signed out</x:v>
      </x:c>
      <x:c r="C16" s="16" t="str">
        <x:v>3 of 3</x:v>
      </x:c>
      <x:c r="D16" s="20" t="str"/>
      <x:c r="E16" s="16" t="str">
        <x:v>links</x:v>
      </x:c>
      <x:c r="F16" s="16" t="n">
        <x:v>3</x:v>
      </x:c>
      <x:c r="G16" s="18" t="str">
        <x:f>IF(D16="","MEASURE",IF(OR(D16="Pass",D16=F16),"VERIFIED","RECORDED"))</x:f>
        <x:v>MEASURE</x:v>
      </x:c>
      <x:c r="H16" s="16" t="str">
        <x:v>Incognito check</x:v>
      </x:c>
    </x:row>
    <x:row r="18" ht="30" customHeight="1">
      <x:c r="A18" s="12" t="str">
        <x:v>Evidence summary</x:v>
      </x:c>
      <x:c r="B18" s="12" t="str">
        <x:v>Count</x:v>
      </x:c>
    </x:row>
    <x:row r="19">
      <x:c r="A19" s="16" t="str">
        <x:v>Verified</x:v>
      </x:c>
      <x:c r="B19" s="16" t="n">
        <x:f>COUNTIF(G5:G16,"VERIFIED")</x:f>
        <x:v>4</x:v>
      </x:c>
    </x:row>
    <x:row r="20">
      <x:c r="A20" s="16" t="str">
        <x:v>Recorded</x:v>
      </x:c>
      <x:c r="B20" s="16" t="n">
        <x:f>COUNTIF(G5:G16,"RECORDED")</x:f>
        <x:v>0</x:v>
      </x:c>
    </x:row>
    <x:row r="21">
      <x:c r="A21" s="16" t="str">
        <x:v>Still to measure</x:v>
      </x:c>
      <x:c r="B21" s="16" t="n">
        <x:f>COUNTIF(G5:G16,"MEASURE")</x:f>
        <x:v>8</x:v>
      </x:c>
    </x:row>
  </x:sheetData>
  <x:mergeCells>
    <x:mergeCell ref="A1:H1"/>
    <x:mergeCell ref="A2:H2"/>
  </x:mergeCells>
  <x:conditionalFormatting sqref="G5:G16">
    <x:cfRule type="containsText" dxfId="6" priority="1" operator="containsText" text="MEASURE"/>
    <x:cfRule type="containsText" dxfId="7" priority="2" operator="containsText" text="VERIFI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B59B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38" hidden="0" customWidth="1"/>
    <x:col min="6" max="6" width="59" hidden="0" customWidth="1"/>
    <x:col min="7" max="7" width="18" hidden="0" customWidth="1"/>
  </x:cols>
  <x:sheetData>
    <x:row r="1" ht="34" customHeight="1">
      <x:c r="A1" s="3" t="str">
        <x:v>Three-Minute Demo Video</x:v>
      </x:c>
      <x:c r="B1" s="3"/>
      <x:c r="C1" s="3"/>
      <x:c r="D1" s="3"/>
      <x:c r="E1" s="3"/>
      <x:c r="F1" s="3"/>
      <x:c r="G1" s="3"/>
    </x:row>
    <x:row r="2" ht="30" customHeight="1">
      <x:c r="A2" s="7" t="str">
        <x:v>A judge-friendly sequence that shows the problem, the complete experience, the AI role and measurable proof.</x:v>
      </x:c>
      <x:c r="B2" s="7"/>
      <x:c r="C2" s="7"/>
      <x:c r="D2" s="7"/>
      <x:c r="E2" s="7"/>
      <x:c r="F2" s="7"/>
      <x:c r="G2" s="7"/>
    </x:row>
    <x:row r="4" ht="30" customHeight="1">
      <x:c r="A4" s="12" t="str">
        <x:v>Segment</x:v>
      </x:c>
      <x:c r="B4" s="12" t="str">
        <x:v>Start (sec)</x:v>
      </x:c>
      <x:c r="C4" s="12" t="str">
        <x:v>End (sec)</x:v>
      </x:c>
      <x:c r="D4" s="12" t="str">
        <x:v>Duration</x:v>
      </x:c>
      <x:c r="E4" s="12" t="str">
        <x:v>On screen</x:v>
      </x:c>
      <x:c r="F4" s="12" t="str">
        <x:v>Voiceover point</x:v>
      </x:c>
      <x:c r="G4" s="12" t="str">
        <x:v>Asset status</x:v>
      </x:c>
    </x:row>
    <x:row r="5" ht="48" customHeight="1">
      <x:c r="A5" s="16" t="str">
        <x:v>Hook</x:v>
      </x:c>
      <x:c r="B5" s="21" t="n">
        <x:v>0</x:v>
      </x:c>
      <x:c r="C5" s="21" t="n">
        <x:v>15</x:v>
      </x:c>
      <x:c r="D5" s="21" t="n">
        <x:f>C5-B5</x:f>
        <x:v>15</x:v>
      </x:c>
      <x:c r="E5" s="16" t="str">
        <x:v>A box of leftover tiles beside the intended mosaic tabletop</x:v>
      </x:c>
      <x:c r="F5" s="16" t="str">
        <x:v>Useful material exists, but owners struggle to describe it and finders cannot tell whether it fits a real project.</x:v>
      </x:c>
      <x:c r="G5" s="18" t="str">
        <x:v>SCRIPT READY</x:v>
      </x:c>
    </x:row>
    <x:row r="6" ht="48" customHeight="1">
      <x:c r="A6" s="16" t="str">
        <x:v>Product promise</x:v>
      </x:c>
      <x:c r="B6" s="21" t="n">
        <x:v>15</x:v>
      </x:c>
      <x:c r="C6" s="21" t="n">
        <x:v>30</x:v>
      </x:c>
      <x:c r="D6" s="21" t="n">
        <x:f>C6-B6</x:f>
        <x:v>15</x:v>
      </x:c>
      <x:c r="E6" s="16" t="str">
        <x:v>Re:Source home and project brief</x:v>
      </x:c>
      <x:c r="F6" s="16" t="str">
        <x:v>Re:Source turns scattered leftovers into a practical material plan.</x:v>
      </x:c>
      <x:c r="G6" s="18" t="str">
        <x:v>SCRIPT READY</x:v>
      </x:c>
    </x:row>
    <x:row r="7" ht="48" customHeight="1">
      <x:c r="A7" s="16" t="str">
        <x:v>Finder journey</x:v>
      </x:c>
      <x:c r="B7" s="21" t="n">
        <x:v>30</x:v>
      </x:c>
      <x:c r="C7" s="21" t="n">
        <x:v>85</x:v>
      </x:c>
      <x:c r="D7" s="21" t="n">
        <x:f>C7-B7</x:f>
        <x:v>55</x:v>
      </x:c>
      <x:c r="E7" s="16" t="str">
        <x:v>Describe project → confirm requirements → see ranked matches</x:v>
      </x:c>
      <x:c r="F7" s="16" t="str">
        <x:v>The app translates intent into structured requirements, calculates coverage and price, and explains evidence and gaps.</x:v>
      </x:c>
      <x:c r="G7" s="18" t="str">
        <x:v>CAPTURE</x:v>
      </x:c>
    </x:row>
    <x:row r="8" ht="48" customHeight="1">
      <x:c r="A8" s="16" t="str">
        <x:v>Owner journey</x:v>
      </x:c>
      <x:c r="B8" s="21" t="n">
        <x:v>85</x:v>
      </x:c>
      <x:c r="C8" s="21" t="n">
        <x:v>125</x:v>
      </x:c>
      <x:c r="D8" s="21" t="n">
        <x:f>C8-B8</x:f>
        <x:v>40</x:v>
      </x:c>
      <x:c r="E8" s="16" t="str">
        <x:v>Photo → AI draft → correction → publish</x:v>
      </x:c>
      <x:c r="F8" s="16" t="str">
        <x:v>AI reduces listing effort, while the owner remains responsible for confirming uncertain details.</x:v>
      </x:c>
      <x:c r="G8" s="18" t="str">
        <x:v>CAPTURE</x:v>
      </x:c>
    </x:row>
    <x:row r="9" ht="48" customHeight="1">
      <x:c r="A9" s="16" t="str">
        <x:v>Trust &amp; fallback</x:v>
      </x:c>
      <x:c r="B9" s="21" t="n">
        <x:v>125</x:v>
      </x:c>
      <x:c r="C9" s="21" t="n">
        <x:v>150</x:v>
      </x:c>
      <x:c r="D9" s="21" t="n">
        <x:f>C9-B9</x:f>
        <x:v>25</x:v>
      </x:c>
      <x:c r="E9" s="16" t="str">
        <x:v>Uncertainty prompt and AI-unavailable fallback</x:v>
      </x:c>
      <x:c r="F9" s="16" t="str">
        <x:v>Suggestions are separated from confirmed facts, and the task remains usable if AI fails.</x:v>
      </x:c>
      <x:c r="G9" s="18" t="str">
        <x:v>CAPTURE</x:v>
      </x:c>
    </x:row>
    <x:row r="10" ht="48" customHeight="1">
      <x:c r="A10" s="16" t="str">
        <x:v>Architecture &amp; proof</x:v>
      </x:c>
      <x:c r="B10" s="21" t="n">
        <x:v>150</x:v>
      </x:c>
      <x:c r="C10" s="21" t="n">
        <x:v>170</x:v>
      </x:c>
      <x:c r="D10" s="21" t="n">
        <x:f>C10-B10</x:f>
        <x:v>20</x:v>
      </x:c>
      <x:c r="E10" s="16" t="str">
        <x:v>Architecture diagram and evidence table</x:v>
      </x:c>
      <x:c r="F10" s="16" t="str">
        <x:v>Gemini handles structured suggestions and explanations; deterministic code handles quantity, area and price. Show real measured results only.</x:v>
      </x:c>
      <x:c r="G10" s="18" t="str">
        <x:v>EVIDENCE NEEDED</x:v>
      </x:c>
    </x:row>
    <x:row r="11" ht="48" customHeight="1">
      <x:c r="A11" s="16" t="str">
        <x:v>Close</x:v>
      </x:c>
      <x:c r="B11" s="21" t="n">
        <x:v>170</x:v>
      </x:c>
      <x:c r="C11" s="21" t="n">
        <x:v>180</x:v>
      </x:c>
      <x:c r="D11" s="21" t="n">
        <x:f>C11-B11</x:f>
        <x:v>10</x:v>
      </x:c>
      <x:c r="E11" s="16" t="str">
        <x:v>Saved plan + value proposition + links</x:v>
      </x:c>
      <x:c r="F11" s="16" t="str">
        <x:v>Re:Source helps communities reuse more by making leftovers easier to offer and safer to choose.</x:v>
      </x:c>
      <x:c r="G11" s="18" t="str">
        <x:v>CAPTURE</x:v>
      </x:c>
    </x:row>
    <x:row r="12">
      <x:c r="B12" s="22"/>
      <x:c r="C12" s="22"/>
      <x:c r="D12" s="22"/>
    </x:row>
    <x:row r="13" ht="30" customHeight="1">
      <x:c r="A13" s="12" t="str">
        <x:v>Timing check</x:v>
      </x:c>
      <x:c r="B13" s="23" t="str">
        <x:v>Value</x:v>
      </x:c>
      <x:c r="C13" s="23" t="str">
        <x:v>Result</x:v>
      </x:c>
      <x:c r="D13" s="22"/>
    </x:row>
    <x:row r="14">
      <x:c r="A14" s="16" t="str">
        <x:v>Total duration</x:v>
      </x:c>
      <x:c r="B14" s="21" t="n">
        <x:f>SUM(D5:D11)</x:f>
        <x:v>180</x:v>
      </x:c>
      <x:c r="C14" s="21" t="str">
        <x:f>IF(B14=180,"ON TIME","ADJUST")</x:f>
        <x:v>ON TIME</x:v>
      </x:c>
      <x:c r="D14" s="22"/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6736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54" hidden="0" customWidth="1"/>
    <x:col min="4" max="4" width="45" hidden="0" customWidth="1"/>
  </x:cols>
  <x:sheetData>
    <x:row r="1" ht="34" customHeight="1">
      <x:c r="A1" s="3" t="str">
        <x:v>Sources &amp; Claim Boundaries</x:v>
      </x:c>
      <x:c r="B1" s="3"/>
      <x:c r="C1" s="3"/>
      <x:c r="D1" s="3"/>
    </x:row>
    <x:row r="2" ht="30" customHeight="1">
      <x:c r="A2" s="7" t="str">
        <x:v>Local project documents are the source of truth for this workbook. Official URLs must be rechecked before submission.</x:v>
      </x:c>
      <x:c r="B2" s="7"/>
      <x:c r="C2" s="7"/>
      <x:c r="D2" s="7"/>
    </x:row>
    <x:row r="4" ht="30" customHeight="1">
      <x:c r="A4" s="12" t="str">
        <x:v>Source</x:v>
      </x:c>
      <x:c r="B4" s="12" t="str">
        <x:v>Purpose</x:v>
      </x:c>
      <x:c r="C4" s="12" t="str">
        <x:v>Location / URL</x:v>
      </x:c>
      <x:c r="D4" s="12" t="str">
        <x:v>Reliability note</x:v>
      </x:c>
    </x:row>
    <x:row r="5" ht="38" customHeight="1">
      <x:c r="A5" s="16" t="str">
        <x:v>Submission checklist</x:v>
      </x:c>
      <x:c r="B5" s="16" t="str">
        <x:v>Page-by-page template mapping and open gaps</x:v>
      </x:c>
      <x:c r="C5" s="16" t="str">
        <x:v>SUBMISSION_CHECKLIST.md</x:v>
      </x:c>
      <x:c r="D5" s="16" t="str">
        <x:v>Project-maintained summary; confirm event portal requirements.</x:v>
      </x:c>
    </x:row>
    <x:row r="6" ht="38" customHeight="1">
      <x:c r="A6" s="16" t="str">
        <x:v>Resource plan</x:v>
      </x:c>
      <x:c r="B6" s="16" t="str">
        <x:v>Scope, journeys, architecture, cost and acceptance plan</x:v>
      </x:c>
      <x:c r="C6" s="16" t="str">
        <x:v>RESOURCE_PLAN.md</x:v>
      </x:c>
      <x:c r="D6" s="16" t="str">
        <x:v>Primary internal plan; some services remain proposed.</x:v>
      </x:c>
    </x:row>
    <x:row r="7" ht="38" customHeight="1">
      <x:c r="A7" s="16" t="str">
        <x:v>Competition strategy</x:v>
      </x:c>
      <x:c r="B7" s="16" t="str">
        <x:v>Positioning, signature scenario and AI value</x:v>
      </x:c>
      <x:c r="C7" s="16" t="str">
        <x:v>COMPETITION_STRATEGY.md</x:v>
      </x:c>
      <x:c r="D7" s="16" t="str">
        <x:v>Internal strategy; avoid turning plans into claims.</x:v>
      </x:c>
    </x:row>
    <x:row r="8" ht="38" customHeight="1">
      <x:c r="A8" s="16" t="str">
        <x:v>Hackathon notes</x:v>
      </x:c>
      <x:c r="B8" s="16" t="str">
        <x:v>Theme, transcript notes and judging emphasis</x:v>
      </x:c>
      <x:c r="C8" s="16" t="str">
        <x:v>HACKATHON_NOTES.md</x:v>
      </x:c>
      <x:c r="D8" s="16" t="str">
        <x:v>Notes may be incomplete; portal rules take precedence.</x:v>
      </x:c>
    </x:row>
    <x:row r="9" ht="38" customHeight="1">
      <x:c r="A9" s="16" t="str">
        <x:v>Product brief</x:v>
      </x:c>
      <x:c r="B9" s="16" t="str">
        <x:v>Users, product scope and open decisions</x:v>
      </x:c>
      <x:c r="C9" s="16" t="str">
        <x:v>PRODUCT.md</x:v>
      </x:c>
      <x:c r="D9" s="16" t="str">
        <x:v>Current product intent.</x:v>
      </x:c>
    </x:row>
    <x:row r="10" ht="38" customHeight="1">
      <x:c r="A10" s="16" t="str">
        <x:v>Design notes</x:v>
      </x:c>
      <x:c r="B10" s="16" t="str">
        <x:v>Conversation UX and visual verification</x:v>
      </x:c>
      <x:c r="C10" s="16" t="str">
        <x:v>DESIGN.md</x:v>
      </x:c>
      <x:c r="D10" s="16" t="str">
        <x:v>Current design rationale and recorded checks.</x:v>
      </x:c>
    </x:row>
    <x:row r="11" ht="38" customHeight="1">
      <x:c r="A11" s="16" t="str">
        <x:v>Prototype README</x:v>
      </x:c>
      <x:c r="B11" s="16" t="str">
        <x:v>Implemented behavior and verification status</x:v>
      </x:c>
      <x:c r="C11" s="16" t="str">
        <x:v>resource-app/README.md</x:v>
      </x:c>
      <x:c r="D11" s="16" t="str">
        <x:v>Use as current implementation evidence.</x:v>
      </x:c>
    </x:row>
    <x:row r="12" ht="38" customHeight="1">
      <x:c r="A12" s="16" t="str">
        <x:v>Package manifest</x:v>
      </x:c>
      <x:c r="B12" s="16" t="str">
        <x:v>Final frontend libraries</x:v>
      </x:c>
      <x:c r="C12" s="16" t="str">
        <x:v>resource-app/package.json</x:v>
      </x:c>
      <x:c r="D12" s="16" t="str">
        <x:v>Current dependency record.</x:v>
      </x:c>
    </x:row>
    <x:row r="13" ht="38" customHeight="1">
      <x:c r="A13" s="16" t="str">
        <x:v>Firebase pricing</x:v>
      </x:c>
      <x:c r="B13" s="16" t="str">
        <x:v>Validate no-billing architecture</x:v>
      </x:c>
      <x:c r="C13" s="16" t="str">
        <x:v>https://firebase.google.com/pricing</x:v>
      </x:c>
      <x:c r="D13" s="16" t="str">
        <x:v>Official; recheck current limits.</x:v>
      </x:c>
    </x:row>
    <x:row r="14" ht="38" customHeight="1">
      <x:c r="A14" s="16" t="str">
        <x:v>Firebase AI Logic</x:v>
      </x:c>
      <x:c r="B14" s="16" t="str">
        <x:v>Validate client AI integration and supported models</x:v>
      </x:c>
      <x:c r="C14" s="16" t="str">
        <x:v>https://firebase.google.com/docs/ai-logic</x:v>
      </x:c>
      <x:c r="D14" s="16" t="str">
        <x:v>Official; recheck model availability and quotas.</x:v>
      </x:c>
    </x:row>
    <x:row r="15" ht="38" customHeight="1">
      <x:c r="A15" s="16" t="str">
        <x:v>Firebase App Check</x:v>
      </x:c>
      <x:c r="B15" s="16" t="str">
        <x:v>Validate abuse-protection design</x:v>
      </x:c>
      <x:c r="C15" s="16" t="str">
        <x:v>https://firebase.google.com/docs/app-check</x:v>
      </x:c>
      <x:c r="D15" s="16" t="str">
        <x:v>Official.</x:v>
      </x:c>
    </x:row>
    <x:row r="16" ht="38" customHeight="1">
      <x:c r="A16" s="16" t="str">
        <x:v>Claim boundary</x:v>
      </x:c>
      <x:c r="B16" s="16" t="str">
        <x:v>Live AI, hosting, quotas, public links and user metrics</x:v>
      </x:c>
      <x:c r="C16" s="16" t="str">
        <x:v>Do not claim as complete until Evidence Tracker is filled.</x:v>
      </x:c>
      <x:c r="D16" s="16" t="str">
        <x:v>Required for an honest submission.</x:v>
      </x:c>
    </x:row>
  </x:sheetData>
  <x:mergeCells>
    <x:mergeCell ref="A1:D1"/>
    <x:mergeCell ref="A2:D2"/>
  </x:mergeCells>
  <x:pageMargins left="0.7" right="0.7" top="0.75" bottom="0.75" header="0.3" footer="0.3"/>
</x:worksheet>
</file>